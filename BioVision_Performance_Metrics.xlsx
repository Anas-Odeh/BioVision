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asO\Documents\GitHub\BioVision\"/>
    </mc:Choice>
  </mc:AlternateContent>
  <xr:revisionPtr revIDLastSave="0" documentId="13_ncr:1_{569CAF31-AF14-4C90-A2DF-D3584D701DC4}" xr6:coauthVersionLast="47" xr6:coauthVersionMax="47" xr10:uidLastSave="{00000000-0000-0000-0000-000000000000}"/>
  <bookViews>
    <workbookView xWindow="-110" yWindow="-110" windowWidth="25820" windowHeight="15500" xr2:uid="{6BBA70F4-AE0C-415B-888C-8F32E744E39D}"/>
  </bookViews>
  <sheets>
    <sheet name="Table 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" i="2" l="1"/>
  <c r="D50" i="2" a="1"/>
  <c r="D50" i="2" s="1"/>
  <c r="C50" i="2" a="1"/>
  <c r="C50" i="2" s="1"/>
  <c r="B50" i="2" a="1"/>
  <c r="B50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<sst xmlns="http://schemas.openxmlformats.org/spreadsheetml/2006/main" count="103" uniqueCount="102">
  <si>
    <t>Biological Target</t>
  </si>
  <si>
    <t>Imaging Modality</t>
  </si>
  <si>
    <t>Brightfield</t>
  </si>
  <si>
    <t>Fetal Development</t>
  </si>
  <si>
    <t>Ultrasound</t>
  </si>
  <si>
    <t>Brain Malignancy</t>
  </si>
  <si>
    <t>MRI</t>
  </si>
  <si>
    <t>Breast Malignancy</t>
  </si>
  <si>
    <t>X-ray</t>
  </si>
  <si>
    <t>WBC Subtypes</t>
  </si>
  <si>
    <t>Artery - Aorta</t>
  </si>
  <si>
    <t>Adipose - Subcutaneous</t>
  </si>
  <si>
    <t>Artery - Tibial</t>
  </si>
  <si>
    <t>Brain - Cerebellum</t>
  </si>
  <si>
    <t>Colon Transverse</t>
  </si>
  <si>
    <t>Colon sigmoid</t>
  </si>
  <si>
    <t>Esophagus - Gastroesophageal Junction</t>
  </si>
  <si>
    <t>Esophagus - Muscularis</t>
  </si>
  <si>
    <t>Esophagus Mucosa</t>
  </si>
  <si>
    <t>Liver</t>
  </si>
  <si>
    <t>Lung</t>
  </si>
  <si>
    <t>Small intestine</t>
  </si>
  <si>
    <t>Spleen</t>
  </si>
  <si>
    <t>Vagina</t>
  </si>
  <si>
    <t>kidney cortex</t>
  </si>
  <si>
    <t>VGG16 (Zero-Shot)</t>
  </si>
  <si>
    <t>EfficientNet-B0 (Zero-Shot)</t>
  </si>
  <si>
    <t>BioVision (Fine-Tuned)</t>
  </si>
  <si>
    <t>90.96% (95% CI: [88.74%, 93.18%])</t>
  </si>
  <si>
    <t>39.33% (95% CI: [27.16%, 51.51%])</t>
  </si>
  <si>
    <t>20.24% (95% CI: [12.23%, 28.25%])</t>
  </si>
  <si>
    <t>95.73% (95% CI: [95.52%, 95.94%])</t>
  </si>
  <si>
    <t>54.72% (95% CI: [41.62%, 67.83%])</t>
  </si>
  <si>
    <t>31.14% (95% CI: [19.55%, 42.73%])</t>
  </si>
  <si>
    <t>94.18% (95% CI: [93.64%, 94.73%])</t>
  </si>
  <si>
    <t>19.61% (95% CI: [14.07%, 25.14%])</t>
  </si>
  <si>
    <t>22.95% (95% CI: [14.77%, 31.12%])</t>
  </si>
  <si>
    <t>95.17% (95% CI: [94.22%, 96.13%])</t>
  </si>
  <si>
    <t>33.29% (95% CI: [19.76%, 46.83%])</t>
  </si>
  <si>
    <t>27.28% (95% CI: [14.66%, 39.91%])</t>
  </si>
  <si>
    <t>95.47% (95% CI: [95.02%, 95.91%])</t>
  </si>
  <si>
    <t>33.23% (95% CI: [19.26%, 47.21%])</t>
  </si>
  <si>
    <t>33.54% (95% CI: [18.45%, 48.63%])</t>
  </si>
  <si>
    <t>95.02% (95% CI: [94.63%, 95.42%])</t>
  </si>
  <si>
    <t>44.56% (95% CI: [25.59%, 63.53%])</t>
  </si>
  <si>
    <t>15.62% (95% CI: [5.69%, 25.55%])</t>
  </si>
  <si>
    <t>95.35% (95% CI: [95.15%, 95.55%])</t>
  </si>
  <si>
    <t>54.75% (95% CI: [37.71%, 71.79%])</t>
  </si>
  <si>
    <t>20.89% (95% CI: [6.32%, 35.45%])</t>
  </si>
  <si>
    <t>96.37% (95% CI: [95.98%, 96.76%])</t>
  </si>
  <si>
    <t>49.66% (95% CI: [30.48%, 68.84%])</t>
  </si>
  <si>
    <t>32.38% (95% CI: [13.54%, 51.22%])</t>
  </si>
  <si>
    <t>95.38% (95% CI: [95.10%, 95.67%])</t>
  </si>
  <si>
    <t>39.76% (95% CI: [23.22%, 56.29%])</t>
  </si>
  <si>
    <t>34.15% (95% CI: [21.35%, 46.95%])</t>
  </si>
  <si>
    <t>93.47% (95% CI: [92.77%, 94.16%])</t>
  </si>
  <si>
    <t>21.55% (95% CI: [13.38%, 29.72%])</t>
  </si>
  <si>
    <t>19.55% (95% CI: [10.95%, 28.16%])</t>
  </si>
  <si>
    <t>94.22% (95% CI: [93.77%, 94.68%])</t>
  </si>
  <si>
    <t>29.30% (95% CI: [19.98%, 38.62%])</t>
  </si>
  <si>
    <t>26.19% (95% CI: [12.85%, 39.52%])</t>
  </si>
  <si>
    <t>94.38% (95% CI: [93.81%, 94.95%])</t>
  </si>
  <si>
    <t>30.53% (95% CI: [5.83%, 55.23%])</t>
  </si>
  <si>
    <t>22.15% (95% CI: [11.79%, 32.51%])</t>
  </si>
  <si>
    <t>95.01% (95% CI: [94.50%, 95.52%])</t>
  </si>
  <si>
    <t>38.49% (95% CI: [18.99%, 57.98%])</t>
  </si>
  <si>
    <t>14.97% (95% CI: [8.93%, 21.01%])</t>
  </si>
  <si>
    <t>95.88% (95% CI: [95.11%, 96.66%])</t>
  </si>
  <si>
    <t>39.27% (95% CI: [15.08%, 63.46%])</t>
  </si>
  <si>
    <t>23.57% (95% CI: [-0.71%, 47.85%])</t>
  </si>
  <si>
    <t>95.37% (95% CI: [94.58%, 96.15%])</t>
  </si>
  <si>
    <t>59.22% (95% CI: [21.24%, 97.20%])</t>
  </si>
  <si>
    <t>12.63% (95% CI: [7.20%, 18.06%])</t>
  </si>
  <si>
    <t>Classification Comparison (Confidence [95% CI])</t>
  </si>
  <si>
    <t>78.49% (95% CI: [64.62%, 92.35%])</t>
  </si>
  <si>
    <t>25.04% (95% CI: [14.58%, 35.51%])</t>
  </si>
  <si>
    <t>18.88% (95% CI: [10.68%, 27.07%])</t>
  </si>
  <si>
    <t>99.56% (95% CI: [99.21%, 99.92%])</t>
  </si>
  <si>
    <t>41.95% (95% CI: [39.85%, 44.05%])</t>
  </si>
  <si>
    <t>37.52% (95% CI: [35.59%, 39.46%]</t>
  </si>
  <si>
    <t>97.61% (95% CI: [95.94%, 99.28%])</t>
  </si>
  <si>
    <t>16.00% (95% CI: [13.74%, 18.26%])</t>
  </si>
  <si>
    <t>16.22% (95% CI: [13.31%, 19.12%])</t>
  </si>
  <si>
    <t>99.87% (95% CI: [99.76%, 99.98%])</t>
  </si>
  <si>
    <t>26.36% (95% CI: [24.77%, 27.95%])</t>
  </si>
  <si>
    <t>37.94% (95% CI: [36.44%, 39.44%])</t>
  </si>
  <si>
    <t>Pancreas (Mouse model)</t>
  </si>
  <si>
    <t>98.40% (95% CI: [98.20%, 98.59%])</t>
  </si>
  <si>
    <t>34.47% (95% CI: [27.90%, 41.05%])</t>
  </si>
  <si>
    <t>33.03% (95% CI: [25.50%, 40.57%])</t>
  </si>
  <si>
    <t>Index</t>
  </si>
  <si>
    <r>
      <t>Source</t>
    </r>
    <r>
      <rPr>
        <b/>
        <i/>
        <vertAlign val="superscript"/>
        <sz val="12"/>
        <color rgb="FF000000"/>
        <rFont val="Times New Roman"/>
        <family val="1"/>
      </rPr>
      <t>b</t>
    </r>
  </si>
  <si>
    <r>
      <t>Dataset Size(n)</t>
    </r>
    <r>
      <rPr>
        <b/>
        <i/>
        <vertAlign val="superscript"/>
        <sz val="12"/>
        <color rgb="FF000000"/>
        <rFont val="Times New Roman"/>
        <family val="1"/>
      </rPr>
      <t>c</t>
    </r>
  </si>
  <si>
    <t>Segmentation Performance</t>
  </si>
  <si>
    <r>
      <t>Index</t>
    </r>
    <r>
      <rPr>
        <b/>
        <i/>
        <vertAlign val="superscript"/>
        <sz val="12"/>
        <color rgb="FF000000"/>
        <rFont val="Times New Roman"/>
        <family val="1"/>
      </rPr>
      <t>a</t>
    </r>
  </si>
  <si>
    <t>BioVision</t>
  </si>
  <si>
    <t xml:space="preserve">   (F1-Score)</t>
  </si>
  <si>
    <t xml:space="preserve">Genotype-Tissue Expression (GTEx) </t>
  </si>
  <si>
    <t xml:space="preserve">(https://gtexportal.org/home/histologyPage) </t>
  </si>
  <si>
    <t>Neta Ilan and Israel Vlodavsky Lab. Raw data accessible via the BioVision GitHub repository. (https://github.com/Anas-Odeh/BioVision)</t>
  </si>
  <si>
    <t>Roboflow Universe (https://universe.roboflow.com), a public platform for computer vision datasets.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</si>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</sst>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sz val="12"/>
      <color theme="1"/>
      <name val="Times New Roman"/>
      <family val="1"/>
    </font>
    <font>
      <b/>
      <sz val="12"/>
      <color rgb="FF1F1F1F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b/>
      <i/>
      <vertAlign val="superscript"/>
      <sz val="12"/>
      <color rgb="FF000000"/>
      <name val="Times New Roman"/>
      <family val="1"/>
    </font>
    <font>
      <b/>
      <sz val="10.5"/>
      <color rgb="FF000000"/>
      <name val="Times New Roman"/>
      <family val="1"/>
    </font>
    <font>
      <sz val="10.5"/>
      <color rgb="FF000000"/>
      <name val="Times New Roman"/>
      <family val="1"/>
    </font>
    <font>
      <u/>
      <sz val="11"/>
      <color theme="10"/>
      <name val="Aptos Narrow"/>
      <family val="2"/>
      <scheme val="minor"/>
    </font>
    <font>
      <b/>
      <sz val="10.5"/>
      <color theme="1"/>
      <name val="Times New Roman"/>
      <family val="1"/>
    </font>
    <font>
      <sz val="10.5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10" fontId="7" fillId="0" borderId="1" xfId="0" applyNumberFormat="1" applyFont="1" applyBorder="1" applyAlignment="1">
      <alignment horizontal="center" vertical="center"/>
    </xf>
    <xf numFmtId="0" fontId="8" fillId="0" borderId="1" xfId="1" applyBorder="1" applyAlignment="1">
      <alignment horizontal="center" vertical="center" wrapText="1"/>
    </xf>
    <xf numFmtId="0" fontId="0" fillId="0" borderId="1" xfId="0" applyBorder="1" applyAlignment="1">
      <alignment horizontal="center" vertical="top" wrapText="1"/>
    </xf>
    <xf numFmtId="0" fontId="7" fillId="0" borderId="1" xfId="0" applyFont="1" applyBorder="1" applyAlignment="1">
      <alignment horizontal="left" vertical="center" wrapText="1"/>
    </xf>
    <xf numFmtId="3" fontId="7" fillId="0" borderId="1" xfId="0" applyNumberFormat="1" applyFont="1" applyBorder="1" applyAlignment="1">
      <alignment horizontal="center" vertical="center" wrapText="1"/>
    </xf>
    <xf numFmtId="10" fontId="7" fillId="0" borderId="1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10" fillId="0" borderId="0" xfId="0" applyFont="1" applyAlignment="1">
      <alignment horizontal="left" vertical="center"/>
    </xf>
    <xf numFmtId="0" fontId="9" fillId="0" borderId="0" xfId="0" applyFont="1"/>
    <xf numFmtId="0" fontId="4" fillId="0" borderId="1" xfId="0" applyFont="1" applyBorder="1" applyAlignment="1">
      <alignment horizontal="center" vertical="center" wrapText="1"/>
    </xf>
    <xf numFmtId="0" fontId="8" fillId="0" borderId="1" xfId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0" fontId="10" fillId="0" borderId="0" xfId="0" applyNumberFormat="1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universe.roboflow.com/" TargetMode="External"/><Relationship Id="rId2" Type="http://schemas.openxmlformats.org/officeDocument/2006/relationships/hyperlink" Target="https://github.com/Anas-Odeh/BioVision" TargetMode="External"/><Relationship Id="rId1" Type="http://schemas.openxmlformats.org/officeDocument/2006/relationships/hyperlink" Target="https://gtexportal.org/home/histologyPage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1BC63-FA3A-471A-9E02-568C0CB41883}">
  <dimension ref="A1:F50"/>
  <sheetViews>
    <sheetView tabSelected="1" workbookViewId="0">
      <selection activeCell="J16" sqref="J16"/>
    </sheetView>
  </sheetViews>
  <sheetFormatPr defaultRowHeight="14.5" x14ac:dyDescent="0.35"/>
  <cols>
    <col min="1" max="1" width="18.7265625" bestFit="1" customWidth="1"/>
    <col min="2" max="3" width="33.90625" bestFit="1" customWidth="1"/>
    <col min="4" max="4" width="34.1796875" bestFit="1" customWidth="1"/>
    <col min="5" max="5" width="8.08984375" bestFit="1" customWidth="1"/>
    <col min="6" max="6" width="20.36328125" customWidth="1"/>
  </cols>
  <sheetData>
    <row r="1" spans="1:6" ht="33" x14ac:dyDescent="0.35">
      <c r="A1" s="4"/>
      <c r="B1" s="5" t="s">
        <v>1</v>
      </c>
      <c r="C1" s="5" t="s">
        <v>0</v>
      </c>
      <c r="D1" s="5" t="s">
        <v>91</v>
      </c>
      <c r="E1" s="5" t="s">
        <v>92</v>
      </c>
      <c r="F1" s="5" t="s">
        <v>93</v>
      </c>
    </row>
    <row r="2" spans="1:6" ht="15" x14ac:dyDescent="0.35">
      <c r="A2" s="22" t="s">
        <v>94</v>
      </c>
      <c r="B2" s="22"/>
      <c r="C2" s="22"/>
      <c r="D2" s="22"/>
      <c r="E2" s="22"/>
      <c r="F2" s="6" t="s">
        <v>95</v>
      </c>
    </row>
    <row r="3" spans="1:6" ht="15" x14ac:dyDescent="0.35">
      <c r="A3" s="22"/>
      <c r="B3" s="22"/>
      <c r="C3" s="22"/>
      <c r="D3" s="22"/>
      <c r="E3" s="22"/>
      <c r="F3" s="6" t="s">
        <v>96</v>
      </c>
    </row>
    <row r="4" spans="1:6" x14ac:dyDescent="0.35">
      <c r="A4" s="7">
        <v>1</v>
      </c>
      <c r="B4" s="8"/>
      <c r="C4" s="9" t="s">
        <v>11</v>
      </c>
      <c r="D4" s="8"/>
      <c r="E4" s="10">
        <v>520</v>
      </c>
      <c r="F4" s="11">
        <v>0.95709999999999995</v>
      </c>
    </row>
    <row r="5" spans="1:6" x14ac:dyDescent="0.35">
      <c r="A5" s="7">
        <v>2</v>
      </c>
      <c r="B5" s="24" t="s">
        <v>2</v>
      </c>
      <c r="C5" s="9" t="s">
        <v>10</v>
      </c>
      <c r="D5" s="8"/>
      <c r="E5" s="8">
        <v>617</v>
      </c>
      <c r="F5" s="11">
        <v>0.99360000000000004</v>
      </c>
    </row>
    <row r="6" spans="1:6" x14ac:dyDescent="0.35">
      <c r="A6" s="7">
        <v>3</v>
      </c>
      <c r="B6" s="24"/>
      <c r="C6" s="9" t="s">
        <v>12</v>
      </c>
      <c r="D6" s="8"/>
      <c r="E6" s="10">
        <v>500</v>
      </c>
      <c r="F6" s="11">
        <v>0.98</v>
      </c>
    </row>
    <row r="7" spans="1:6" x14ac:dyDescent="0.35">
      <c r="A7" s="7">
        <v>4</v>
      </c>
      <c r="B7" s="24"/>
      <c r="C7" s="9" t="s">
        <v>13</v>
      </c>
      <c r="D7" s="8"/>
      <c r="E7" s="10">
        <v>513</v>
      </c>
      <c r="F7" s="11">
        <v>0.94389999999999996</v>
      </c>
    </row>
    <row r="8" spans="1:6" x14ac:dyDescent="0.35">
      <c r="A8" s="7">
        <v>5</v>
      </c>
      <c r="B8" s="24"/>
      <c r="C8" s="9" t="s">
        <v>14</v>
      </c>
      <c r="D8" s="8"/>
      <c r="E8" s="10">
        <v>542</v>
      </c>
      <c r="F8" s="11">
        <v>1</v>
      </c>
    </row>
    <row r="9" spans="1:6" x14ac:dyDescent="0.35">
      <c r="A9" s="7">
        <v>6</v>
      </c>
      <c r="B9" s="24"/>
      <c r="C9" s="9" t="s">
        <v>15</v>
      </c>
      <c r="D9" s="8"/>
      <c r="E9" s="10">
        <v>453</v>
      </c>
      <c r="F9" s="11">
        <v>1</v>
      </c>
    </row>
    <row r="10" spans="1:6" x14ac:dyDescent="0.35">
      <c r="A10" s="7">
        <v>7</v>
      </c>
      <c r="B10" s="24"/>
      <c r="C10" s="9" t="s">
        <v>16</v>
      </c>
      <c r="D10" s="8"/>
      <c r="E10" s="10">
        <v>340</v>
      </c>
      <c r="F10" s="11">
        <v>0.97619999999999996</v>
      </c>
    </row>
    <row r="11" spans="1:6" x14ac:dyDescent="0.35">
      <c r="A11" s="7">
        <v>8</v>
      </c>
      <c r="B11" s="24"/>
      <c r="C11" s="9" t="s">
        <v>17</v>
      </c>
      <c r="D11" s="8" t="s">
        <v>97</v>
      </c>
      <c r="E11" s="10">
        <v>461</v>
      </c>
      <c r="F11" s="11">
        <v>1</v>
      </c>
    </row>
    <row r="12" spans="1:6" ht="29" x14ac:dyDescent="0.35">
      <c r="A12" s="7">
        <v>9</v>
      </c>
      <c r="B12" s="24"/>
      <c r="C12" s="9" t="s">
        <v>18</v>
      </c>
      <c r="D12" s="12" t="s">
        <v>98</v>
      </c>
      <c r="E12" s="8">
        <v>490</v>
      </c>
      <c r="F12" s="11">
        <v>0.99150000000000005</v>
      </c>
    </row>
    <row r="13" spans="1:6" x14ac:dyDescent="0.35">
      <c r="A13" s="7">
        <v>10</v>
      </c>
      <c r="B13" s="24"/>
      <c r="C13" s="9" t="s">
        <v>19</v>
      </c>
      <c r="D13" s="13"/>
      <c r="E13" s="10">
        <v>497</v>
      </c>
      <c r="F13" s="11">
        <v>0.94069999999999998</v>
      </c>
    </row>
    <row r="14" spans="1:6" x14ac:dyDescent="0.35">
      <c r="A14" s="7">
        <v>11</v>
      </c>
      <c r="B14" s="24"/>
      <c r="C14" s="9" t="s">
        <v>20</v>
      </c>
      <c r="D14" s="13"/>
      <c r="E14" s="10">
        <v>698</v>
      </c>
      <c r="F14" s="11">
        <v>0.98460000000000003</v>
      </c>
    </row>
    <row r="15" spans="1:6" x14ac:dyDescent="0.35">
      <c r="A15" s="7">
        <v>12</v>
      </c>
      <c r="B15" s="24"/>
      <c r="C15" s="9" t="s">
        <v>21</v>
      </c>
      <c r="D15" s="13"/>
      <c r="E15" s="10">
        <v>393</v>
      </c>
      <c r="F15" s="11">
        <v>0.95240000000000002</v>
      </c>
    </row>
    <row r="16" spans="1:6" x14ac:dyDescent="0.35">
      <c r="A16" s="7">
        <v>13</v>
      </c>
      <c r="B16" s="24"/>
      <c r="C16" s="9" t="s">
        <v>22</v>
      </c>
      <c r="D16" s="13"/>
      <c r="E16" s="10">
        <v>498</v>
      </c>
      <c r="F16" s="11">
        <v>1</v>
      </c>
    </row>
    <row r="17" spans="1:6" x14ac:dyDescent="0.35">
      <c r="A17" s="7">
        <v>14</v>
      </c>
      <c r="B17" s="24"/>
      <c r="C17" s="9" t="s">
        <v>23</v>
      </c>
      <c r="D17" s="13"/>
      <c r="E17" s="10">
        <v>215</v>
      </c>
      <c r="F17" s="11">
        <v>1</v>
      </c>
    </row>
    <row r="18" spans="1:6" x14ac:dyDescent="0.35">
      <c r="A18" s="7">
        <v>15</v>
      </c>
      <c r="B18" s="24"/>
      <c r="C18" s="9" t="s">
        <v>24</v>
      </c>
      <c r="D18" s="13"/>
      <c r="E18" s="10">
        <v>231</v>
      </c>
      <c r="F18" s="11">
        <v>1</v>
      </c>
    </row>
    <row r="19" spans="1:6" ht="58" x14ac:dyDescent="0.35">
      <c r="A19" s="7">
        <v>16</v>
      </c>
      <c r="B19" s="24"/>
      <c r="C19" s="9" t="s">
        <v>86</v>
      </c>
      <c r="D19" s="12" t="s">
        <v>99</v>
      </c>
      <c r="E19" s="10">
        <v>1656</v>
      </c>
      <c r="F19" s="11">
        <v>1</v>
      </c>
    </row>
    <row r="20" spans="1:6" ht="51" customHeight="1" x14ac:dyDescent="0.35">
      <c r="A20" s="7">
        <v>17</v>
      </c>
      <c r="B20" s="24"/>
      <c r="C20" s="14" t="s">
        <v>9</v>
      </c>
      <c r="D20" s="23" t="s">
        <v>100</v>
      </c>
      <c r="E20" s="15">
        <v>37695</v>
      </c>
      <c r="F20" s="11">
        <v>0.99590000000000001</v>
      </c>
    </row>
    <row r="21" spans="1:6" x14ac:dyDescent="0.35">
      <c r="A21" s="7">
        <v>18</v>
      </c>
      <c r="B21" s="8" t="s">
        <v>4</v>
      </c>
      <c r="C21" s="14" t="s">
        <v>3</v>
      </c>
      <c r="D21" s="23"/>
      <c r="E21" s="8">
        <v>846</v>
      </c>
      <c r="F21" s="16">
        <v>1</v>
      </c>
    </row>
    <row r="22" spans="1:6" x14ac:dyDescent="0.35">
      <c r="A22" s="7">
        <v>19</v>
      </c>
      <c r="B22" s="8" t="s">
        <v>6</v>
      </c>
      <c r="C22" s="14" t="s">
        <v>5</v>
      </c>
      <c r="D22" s="23"/>
      <c r="E22" s="15">
        <v>4488</v>
      </c>
      <c r="F22" s="16">
        <v>1</v>
      </c>
    </row>
    <row r="23" spans="1:6" x14ac:dyDescent="0.35">
      <c r="A23" s="7">
        <v>20</v>
      </c>
      <c r="B23" s="8" t="s">
        <v>8</v>
      </c>
      <c r="C23" s="14" t="s">
        <v>7</v>
      </c>
      <c r="D23" s="23"/>
      <c r="E23" s="15">
        <v>13059</v>
      </c>
      <c r="F23" s="16">
        <v>1</v>
      </c>
    </row>
    <row r="24" spans="1:6" x14ac:dyDescent="0.35">
      <c r="E24" s="21" t="s">
        <v>101</v>
      </c>
      <c r="F24" s="27">
        <f>AVERAGE(F4:F23)</f>
        <v>0.98579500000000009</v>
      </c>
    </row>
    <row r="26" spans="1:6" ht="15" x14ac:dyDescent="0.35">
      <c r="A26" s="3"/>
      <c r="B26" s="25" t="s">
        <v>73</v>
      </c>
      <c r="C26" s="26"/>
      <c r="D26" s="26"/>
    </row>
    <row r="27" spans="1:6" ht="15" x14ac:dyDescent="0.35">
      <c r="A27" s="2" t="s">
        <v>90</v>
      </c>
      <c r="B27" s="1" t="s">
        <v>27</v>
      </c>
      <c r="C27" s="1" t="s">
        <v>25</v>
      </c>
      <c r="D27" s="1" t="s">
        <v>26</v>
      </c>
    </row>
    <row r="28" spans="1:6" x14ac:dyDescent="0.35">
      <c r="A28" s="17">
        <v>1</v>
      </c>
      <c r="B28" s="18" t="s">
        <v>28</v>
      </c>
      <c r="C28" s="18" t="s">
        <v>29</v>
      </c>
      <c r="D28" s="18" t="s">
        <v>30</v>
      </c>
    </row>
    <row r="29" spans="1:6" x14ac:dyDescent="0.35">
      <c r="A29" s="17">
        <v>2</v>
      </c>
      <c r="B29" s="18" t="s">
        <v>31</v>
      </c>
      <c r="C29" s="18" t="s">
        <v>32</v>
      </c>
      <c r="D29" s="18" t="s">
        <v>33</v>
      </c>
    </row>
    <row r="30" spans="1:6" x14ac:dyDescent="0.35">
      <c r="A30" s="17">
        <v>3</v>
      </c>
      <c r="B30" s="18" t="s">
        <v>34</v>
      </c>
      <c r="C30" s="18" t="s">
        <v>35</v>
      </c>
      <c r="D30" s="18" t="s">
        <v>36</v>
      </c>
    </row>
    <row r="31" spans="1:6" x14ac:dyDescent="0.35">
      <c r="A31" s="17">
        <v>4</v>
      </c>
      <c r="B31" s="18" t="s">
        <v>37</v>
      </c>
      <c r="C31" s="18" t="s">
        <v>38</v>
      </c>
      <c r="D31" s="18" t="s">
        <v>39</v>
      </c>
    </row>
    <row r="32" spans="1:6" x14ac:dyDescent="0.35">
      <c r="A32" s="17">
        <v>5</v>
      </c>
      <c r="B32" s="18" t="s">
        <v>40</v>
      </c>
      <c r="C32" s="18" t="s">
        <v>41</v>
      </c>
      <c r="D32" s="18" t="s">
        <v>42</v>
      </c>
    </row>
    <row r="33" spans="1:4" x14ac:dyDescent="0.35">
      <c r="A33" s="17">
        <v>6</v>
      </c>
      <c r="B33" s="18" t="s">
        <v>43</v>
      </c>
      <c r="C33" s="18" t="s">
        <v>44</v>
      </c>
      <c r="D33" s="18" t="s">
        <v>45</v>
      </c>
    </row>
    <row r="34" spans="1:4" x14ac:dyDescent="0.35">
      <c r="A34" s="17">
        <v>7</v>
      </c>
      <c r="B34" s="18" t="s">
        <v>46</v>
      </c>
      <c r="C34" s="18" t="s">
        <v>47</v>
      </c>
      <c r="D34" s="18" t="s">
        <v>48</v>
      </c>
    </row>
    <row r="35" spans="1:4" x14ac:dyDescent="0.35">
      <c r="A35" s="17">
        <v>8</v>
      </c>
      <c r="B35" s="18" t="s">
        <v>49</v>
      </c>
      <c r="C35" s="18" t="s">
        <v>50</v>
      </c>
      <c r="D35" s="18" t="s">
        <v>51</v>
      </c>
    </row>
    <row r="36" spans="1:4" x14ac:dyDescent="0.35">
      <c r="A36" s="17">
        <v>9</v>
      </c>
      <c r="B36" s="18" t="s">
        <v>52</v>
      </c>
      <c r="C36" s="18" t="s">
        <v>53</v>
      </c>
      <c r="D36" s="18" t="s">
        <v>54</v>
      </c>
    </row>
    <row r="37" spans="1:4" x14ac:dyDescent="0.35">
      <c r="A37" s="17">
        <v>10</v>
      </c>
      <c r="B37" s="18" t="s">
        <v>55</v>
      </c>
      <c r="C37" s="18" t="s">
        <v>56</v>
      </c>
      <c r="D37" s="18" t="s">
        <v>57</v>
      </c>
    </row>
    <row r="38" spans="1:4" x14ac:dyDescent="0.35">
      <c r="A38" s="17">
        <v>11</v>
      </c>
      <c r="B38" s="18" t="s">
        <v>58</v>
      </c>
      <c r="C38" s="18" t="s">
        <v>59</v>
      </c>
      <c r="D38" s="18" t="s">
        <v>60</v>
      </c>
    </row>
    <row r="39" spans="1:4" x14ac:dyDescent="0.35">
      <c r="A39" s="17">
        <v>12</v>
      </c>
      <c r="B39" s="18" t="s">
        <v>61</v>
      </c>
      <c r="C39" s="18" t="s">
        <v>62</v>
      </c>
      <c r="D39" s="18" t="s">
        <v>63</v>
      </c>
    </row>
    <row r="40" spans="1:4" x14ac:dyDescent="0.35">
      <c r="A40" s="17">
        <v>13</v>
      </c>
      <c r="B40" s="18" t="s">
        <v>64</v>
      </c>
      <c r="C40" s="18" t="s">
        <v>65</v>
      </c>
      <c r="D40" s="18" t="s">
        <v>66</v>
      </c>
    </row>
    <row r="41" spans="1:4" x14ac:dyDescent="0.35">
      <c r="A41" s="17">
        <v>14</v>
      </c>
      <c r="B41" s="18" t="s">
        <v>67</v>
      </c>
      <c r="C41" s="18" t="s">
        <v>68</v>
      </c>
      <c r="D41" s="18" t="s">
        <v>69</v>
      </c>
    </row>
    <row r="42" spans="1:4" x14ac:dyDescent="0.35">
      <c r="A42" s="17">
        <v>15</v>
      </c>
      <c r="B42" s="18" t="s">
        <v>70</v>
      </c>
      <c r="C42" s="18" t="s">
        <v>71</v>
      </c>
      <c r="D42" s="18" t="s">
        <v>72</v>
      </c>
    </row>
    <row r="43" spans="1:4" x14ac:dyDescent="0.35">
      <c r="A43" s="17">
        <v>16</v>
      </c>
      <c r="B43" s="18" t="s">
        <v>87</v>
      </c>
      <c r="C43" s="18" t="s">
        <v>88</v>
      </c>
      <c r="D43" s="18" t="s">
        <v>89</v>
      </c>
    </row>
    <row r="44" spans="1:4" x14ac:dyDescent="0.35">
      <c r="A44" s="17">
        <v>17</v>
      </c>
      <c r="B44" s="19" t="s">
        <v>83</v>
      </c>
      <c r="C44" s="19" t="s">
        <v>84</v>
      </c>
      <c r="D44" s="19" t="s">
        <v>85</v>
      </c>
    </row>
    <row r="45" spans="1:4" x14ac:dyDescent="0.35">
      <c r="A45" s="17">
        <v>18</v>
      </c>
      <c r="B45" s="18" t="s">
        <v>74</v>
      </c>
      <c r="C45" s="18" t="s">
        <v>75</v>
      </c>
      <c r="D45" s="18" t="s">
        <v>76</v>
      </c>
    </row>
    <row r="46" spans="1:4" x14ac:dyDescent="0.35">
      <c r="A46" s="17">
        <v>19</v>
      </c>
      <c r="B46" s="18" t="s">
        <v>77</v>
      </c>
      <c r="C46" s="18" t="s">
        <v>78</v>
      </c>
      <c r="D46" s="18" t="s">
        <v>79</v>
      </c>
    </row>
    <row r="47" spans="1:4" x14ac:dyDescent="0.35">
      <c r="A47" s="17">
        <v>20</v>
      </c>
      <c r="B47" s="18" t="s">
        <v>80</v>
      </c>
      <c r="C47" s="18" t="s">
        <v>81</v>
      </c>
      <c r="D47" s="18" t="s">
        <v>82</v>
      </c>
    </row>
    <row r="50" spans="1:4" x14ac:dyDescent="0.35">
      <c r="A50" s="21" t="s">
        <v>101</v>
      </c>
      <c r="B50" s="20" t="str" cm="1">
        <f t="array" ref="B50">TEXT(AVERAGE(VALUE(LEFT(B28:B47,FIND("%",B28:B47)-1))),"0.00")&amp;"% (95% CI: ["&amp;TEXT(AVERAGE(VALUE(MID(B28:B47,FIND("[",B28:B47)+1,FIND("%",B28:B47,FIND("[",B28:B47))-FIND("[",B28:B47)-1))),"0.00")&amp;"%, "&amp;TEXT(AVERAGE(VALUE(MID(B28:B47,FIND(", ",B28:B47,FIND("[",B28:B47))+2,FIND("%]",B28:B47)-FIND(", ",B28:B47,FIND("[",B28:B47))-2))),"0.00")&amp;"%])"</f>
        <v>94.79% (95% CI: [93.51%, 96.08%])</v>
      </c>
      <c r="C50" s="20" t="str" cm="1">
        <f t="array" ref="C50">TEXT(AVERAGE(VALUE(LEFT(C28:C47,FIND("%",C28:C47)-1))),"0.00")&amp;"% (95% CI: ["&amp;TEXT(AVERAGE(VALUE(MID(C28:C47,FIND("[",C28:C47)+1,FIND("%",C28:C47,FIND("[",C28:C47))-FIND("[",C28:C47)-1))),"0.00")&amp;"%, "&amp;TEXT(AVERAGE(VALUE(MID(C28:C47,FIND(", ",C28:C47,FIND("[",C28:C47))+2,FIND("%]",C28:C47)-FIND(", ",C28:C47,FIND("[",C28:C47))-2))),"0.00")&amp;"%])"</f>
        <v>36.55% (95% CI: [22.71%, 50.40%])</v>
      </c>
      <c r="D50" s="20" t="str" cm="1">
        <f t="array" ref="D50">TEXT(AVERAGE(VALUE(LEFT(D28:D47,FIND("%",D28:D47)-1))),"0.00")&amp;"% (95% CI: ["&amp;TEXT(AVERAGE(VALUE(MID(D28:D47,FIND("[",D28:D47)+1,FIND("%",D28:D47,FIND("[",D28:D47))-FIND("[",D28:D47)-1))),"0.00")&amp;"%, "&amp;TEXT(AVERAGE(VALUE(MID(D28:D47,FIND(", ",D28:D47,FIND("[",D28:D47))+2,FIND("%]",D28:D47)-FIND(", ",D28:D47,FIND("[",D28:D47))-2))),"0.00")&amp;"%])"</f>
        <v>25.04% (95% CI: [14.95%, 35.13%])</v>
      </c>
    </row>
  </sheetData>
  <mergeCells count="8">
    <mergeCell ref="E2:E3"/>
    <mergeCell ref="D20:D23"/>
    <mergeCell ref="B5:B20"/>
    <mergeCell ref="B26:D26"/>
    <mergeCell ref="A2:A3"/>
    <mergeCell ref="B2:B3"/>
    <mergeCell ref="C2:C3"/>
    <mergeCell ref="D2:D3"/>
  </mergeCells>
  <hyperlinks>
    <hyperlink ref="D12" r:id="rId1" display="https://gtexportal.org/home/histologyPage" xr:uid="{8E7AA31D-7222-4846-988C-D886EC642037}"/>
    <hyperlink ref="D19" r:id="rId2" display="https://github.com/Anas-Odeh/BioVision" xr:uid="{BA22B37C-BFF0-44D4-890F-967224615069}"/>
    <hyperlink ref="D20" r:id="rId3" display="https://universe.roboflow.com/" xr:uid="{43CF4427-DBF6-49A2-A5AB-7F7230077706}"/>
  </hyperlinks>
  <pageMargins left="0.7" right="0.7" top="0.75" bottom="0.75" header="0.3" footer="0.3"/>
  <pageSetup orientation="portrait" horizontalDpi="1200" verticalDpi="1200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Table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Inass Odeh</dc:creator>
  <cp:lastModifiedBy>Inass Odeh</cp:lastModifiedBy>
  <dcterms:created xsi:type="dcterms:W3CDTF">2026-04-19T17:45:05Z</dcterms:created>
  <dcterms:modified xsi:type="dcterms:W3CDTF">2026-04-21T12:40:02Z</dcterms:modified>
</cp:coreProperties>
</file>